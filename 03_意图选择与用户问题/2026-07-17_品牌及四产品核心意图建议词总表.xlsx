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5e664055e4e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品牌及四产品30词总表" sheetId="1" r:id="Rdd8045d36bf74b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5"/>
      <x:color rgb="FF303033"/>
      <x:name val="Aptos Display"/>
    </x:font>
    <x:font>
      <x:sz val="22"/>
      <x:color rgb="FF303033"/>
      <x:name val="Aptos Display"/>
    </x:font>
    <x:font>
      <x:b/>
      <x:sz val="10"/>
      <x:color rgb="FFB67B45"/>
      <x:name val="Carlito"/>
    </x:font>
    <x:font>
      <x:sz val="9"/>
      <x:color rgb="FF766F69"/>
      <x:name val="Carlito"/>
    </x:font>
    <x:font>
      <x:b/>
      <x:sz val="9"/>
      <x:color rgb="FFFFFFFF"/>
      <x:name val="Carlito"/>
    </x:font>
    <x:font>
      <x:sz val="9"/>
      <x:color rgb="FF303033"/>
      <x:name val="Carlito"/>
    </x:font>
    <x:font>
      <x:b/>
      <x:sz val="9"/>
      <x:color rgb="FF30303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FBFAF8"/>
      </x:patternFill>
    </x:fill>
    <x:fill>
      <x:patternFill patternType="solid">
        <x:fgColor rgb="FFF4EEE8"/>
      </x:patternFill>
    </x:fill>
    <x:fill>
      <x:patternFill patternType="solid">
        <x:fgColor rgb="FFB67B45"/>
      </x:patternFill>
    </x:fill>
    <x:fill>
      <x:patternFill patternType="solid">
        <x:fgColor rgb="FFFFFFFF"/>
      </x:patternFill>
    </x:fill>
    <x:fill>
      <x:patternFill patternType="solid">
        <x:fgColor rgb="FFEEE8E1"/>
      </x:patternFill>
    </x:fill>
    <x:fill>
      <x:patternFill patternType="solid">
        <x:fgColor rgb="FFE4ECF3"/>
      </x:patternFill>
    </x:fill>
    <x:fill>
      <x:patternFill patternType="solid">
        <x:fgColor rgb="FFF5E8C9"/>
      </x:patternFill>
    </x:fill>
    <x:fill>
      <x:patternFill patternType="solid">
        <x:fgColor rgb="FFE2EBE6"/>
      </x:patternFill>
    </x:fill>
    <x:fill>
      <x:patternFill patternType="solid">
        <x:fgColor rgb="FFF4DEE0"/>
      </x:patternFill>
    </x:fill>
  </x:fills>
  <x:borders count="6">
    <x:border/>
    <x:border>
      <x:bottom style="medium">
        <x:color rgb="FFC8935D"/>
      </x:bottom>
    </x:border>
    <x:border>
      <x:bottom style="thin">
        <x:color rgb="FFE4D8CC"/>
      </x:bottom>
    </x:border>
    <x:border>
      <x:bottom style="medium">
        <x:color rgb="FF8F5C31"/>
      </x:bottom>
    </x:border>
    <x:border>
      <x:top style="thin">
        <x:color rgb="FFE4D8CC"/>
      </x:top>
      <x:bottom style="thin">
        <x:color rgb="FFE4D8CC"/>
      </x:bottom>
    </x:border>
    <x:border>
      <x:top style="medium">
        <x:color rgb="FFC8935D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3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200" fontId="6" fillId="5" borderId="2" xfId="0" applyNumberFormat="1" applyFont="1" applyFill="1" applyBorder="1" applyAlignment="1">
      <x:alignment horizontal="center" vertical="center" wrapText="1"/>
    </x:xf>
    <x:xf numFmtId="200" fontId="6" fillId="5" borderId="4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7" fillId="9" borderId="4" xfId="0" applyNumberFormat="1" applyFont="1" applyFill="1" applyBorder="1" applyAlignment="1">
      <x:alignment vertical="center" wrapText="1"/>
    </x:xf>
    <x:xf numFmtId="0" fontId="6" fillId="10" borderId="4" xfId="0" applyNumberFormat="1" applyFont="1" applyFill="1" applyBorder="1" applyAlignment="1">
      <x:alignment vertical="center" wrapText="1"/>
    </x:xf>
    <x:xf numFmtId="0" fontId="7" fillId="10" borderId="4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246344"/>
      </x:font>
      <x:fill>
        <x:patternFill patternType="solid">
          <x:bgColor rgb="FFE6F1EA"/>
        </x:patternFill>
      </x:fill>
    </x:dxf>
    <x:dxf>
      <x:font>
        <x:b/>
        <x:color rgb="FF8D6214"/>
      </x:font>
      <x:fill>
        <x:patternFill patternType="solid">
          <x:bgColor rgb="FFFFF3D8"/>
        </x:patternFill>
      </x:fill>
    </x:dxf>
    <x:dxf>
      <x:font>
        <x:b/>
        <x:color rgb="FFFFFFFF"/>
      </x:font>
      <x:fill>
        <x:patternFill patternType="solid">
          <x:bgColor rgb="FFA84447"/>
        </x:patternFill>
      </x:fill>
    </x:dxf>
    <x:dxf>
      <x:font>
        <x:b/>
        <x:color rgb="FFFFFFFF"/>
      </x:font>
      <x:fill>
        <x:patternFill patternType="solid">
          <x:bgColor rgb="FFD4A45C"/>
        </x:patternFill>
      </x:fill>
    </x:dxf>
    <x:dxf>
      <x:font>
        <x:b/>
        <x:color rgb="FFFFFFFF"/>
      </x:font>
      <x:fill>
        <x:patternFill patternType="solid">
          <x:bgColor rgb="FF6B8FB5"/>
        </x:patternFill>
      </x:fill>
    </x:dxf>
    <x:dxf>
      <x:font>
        <x:b/>
        <x:color rgb="FF303033"/>
      </x:font>
      <x:fill>
        <x:patternFill patternType="solid">
          <x:bgColor rgb="FFB7C6B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a25f4676c4045" /><Relationship Type="http://schemas.openxmlformats.org/officeDocument/2006/relationships/theme" Target="/xl/theme/theme1.xml" Id="Re8780c4eafd24604" /><Relationship Type="http://schemas.openxmlformats.org/officeDocument/2006/relationships/sharedStrings" Target="/xl/sharedStrings.xml" Id="R42fbdb9a51944964" /><Relationship Type="http://schemas.openxmlformats.org/officeDocument/2006/relationships/worksheet" Target="/xl/worksheets/sheet1.xml" Id="Rdd8045d36bf74bdb" /></Relationships>
</file>

<file path=xl/tables/table1.xml><?xml version="1.0" encoding="utf-8"?>
<x:table xmlns:x="http://schemas.openxmlformats.org/spreadsheetml/2006/main" id="1" name="BeyondNatureIntent30" displayName="BeyondNatureIntent30" ref="A5:S35" headerRowCount="1" totalsRowCount="0" totalsRowShown="0">
  <x:autoFilter ref="A5:S35"/>
  <x:tableColumns count="19">
    <x:tableColumn id="1" name="综合推荐排名"/>
    <x:tableColumn id="2" name="搜索热度排名"/>
    <x:tableColumn id="3" name="对象"/>
    <x:tableColumn id="4" name="意图分类"/>
    <x:tableColumn id="5" name="建议词"/>
    <x:tableColumn id="6" name="词条属性"/>
    <x:tableColumn id="7" name="优先级"/>
    <x:tableColumn id="8" name="承接方式"/>
    <x:tableColumn id="9" name="抖音月覆盖（本词）"/>
    <x:tableColumn id="10" name="小红书月均搜索（本词）"/>
    <x:tableColumn id="11" name="来源类型数"/>
    <x:tableColumn id="12" name="参考母词"/>
    <x:tableColumn id="13" name="抖音月覆盖（母词）"/>
    <x:tableColumn id="14" name="小红书月均搜索（母词）"/>
    <x:tableColumn id="15" name="热度口径"/>
    <x:tableColumn id="16" name="热度参考值"/>
    <x:tableColumn id="17" name="热度等级"/>
    <x:tableColumn id="18" name="搜索热度建议"/>
    <x:tableColumn id="19" name="推荐理由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c82172f95c45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3" hidden="0" customWidth="1"/>
    <x:col min="4" max="4" width="13" hidden="0" customWidth="1"/>
    <x:col min="5" max="5" width="24" hidden="0" customWidth="1"/>
    <x:col min="6" max="6" width="16" hidden="0" customWidth="1"/>
    <x:col min="7" max="7" width="8" hidden="0" customWidth="1"/>
    <x:col min="8" max="8" width="14" hidden="0" customWidth="1"/>
    <x:col min="9" max="9" width="14" hidden="0" customWidth="1"/>
    <x:col min="10" max="10" width="16" hidden="0" customWidth="1"/>
    <x:col min="11" max="11" width="10" hidden="0" customWidth="1"/>
    <x:col min="12" max="12" width="22" hidden="0" customWidth="1"/>
    <x:col min="13" max="13" width="14" hidden="0" customWidth="1"/>
    <x:col min="14" max="14" width="16" hidden="0" customWidth="1"/>
    <x:col min="15" max="15" width="11" hidden="0" customWidth="1"/>
    <x:col min="16" max="16" width="12" hidden="0" customWidth="1"/>
    <x:col min="17" max="17" width="9" hidden="0" customWidth="1"/>
    <x:col min="18" max="18" width="34" hidden="0" customWidth="1"/>
    <x:col min="19" max="19" width="48" hidden="0" customWidth="1"/>
  </x:cols>
  <x:sheetData>
    <x:row r="1" ht="30" customHeight="1">
      <x:c r="A1" s="3" t="str">
        <x:v>BEYOND NATURE  蓓养乐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42" customHeight="1">
      <x:c r="A2" s="6" t="str">
        <x:v>品牌及四产品核心意图建议词总表 · 客户确认版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3" ht="27" customHeight="1">
      <x:c r="A3" s="10" t="str">
        <x:v>30个建议词</x:v>
      </x:c>
      <x:c r="B3" s="10" t="str"/>
      <x:c r="C3" s="10" t="str"/>
      <x:c r="D3" s="10" t="str">
        <x:v>16个品牌/产品词</x:v>
      </x:c>
      <x:c r="E3" s="10" t="str"/>
      <x:c r="F3" s="10" t="str"/>
      <x:c r="G3" s="10" t="str">
        <x:v>21个本词有实测量</x:v>
      </x:c>
      <x:c r="H3" s="10" t="str"/>
      <x:c r="I3" s="10" t="str"/>
      <x:c r="J3" s="10" t="str">
        <x:v>抖音 + 小红书</x:v>
      </x:c>
      <x:c r="K3" s="10" t="str"/>
      <x:c r="L3" s="10" t="str"/>
      <x:c r="M3" s="10" t="str">
        <x:v>品牌总盘 + 四产品</x:v>
      </x:c>
      <x:c r="N3" s="10" t="str"/>
      <x:c r="O3" s="10" t="str"/>
      <x:c r="P3" s="10" t="str"/>
      <x:c r="Q3" s="10" t="str"/>
      <x:c r="R3" s="10" t="str"/>
      <x:c r="S3" s="10" t="str"/>
    </x:row>
    <x:row r="4" ht="32" customHeight="1">
      <x:c r="A4" s="14" t="str">
        <x:v>说明：本词实测量与母词参考量分开呈现；未检出独立量的品牌组合词，不借用母词量冒充自身搜索量。热度排名仅用于需求规模比较，综合推荐排名同时考虑品牌资产、产品适配、决策强度和合规边界。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</x:row>
    <x:row r="5" ht="34" customHeight="1">
      <x:c r="A5" s="20" t="str">
        <x:v>综合推荐排名</x:v>
      </x:c>
      <x:c r="B5" s="20" t="str">
        <x:v>搜索热度排名</x:v>
      </x:c>
      <x:c r="C5" s="20" t="str">
        <x:v>对象</x:v>
      </x:c>
      <x:c r="D5" s="20" t="str">
        <x:v>意图分类</x:v>
      </x:c>
      <x:c r="E5" s="20" t="str">
        <x:v>建议词</x:v>
      </x:c>
      <x:c r="F5" s="20" t="str">
        <x:v>词条属性</x:v>
      </x:c>
      <x:c r="G5" s="20" t="str">
        <x:v>优先级</x:v>
      </x:c>
      <x:c r="H5" s="20" t="str">
        <x:v>承接方式</x:v>
      </x:c>
      <x:c r="I5" s="20" t="str">
        <x:v>抖音月覆盖（本词）</x:v>
      </x:c>
      <x:c r="J5" s="20" t="str">
        <x:v>小红书月均搜索（本词）</x:v>
      </x:c>
      <x:c r="K5" s="20" t="str">
        <x:v>来源类型数</x:v>
      </x:c>
      <x:c r="L5" s="20" t="str">
        <x:v>参考母词</x:v>
      </x:c>
      <x:c r="M5" s="20" t="str">
        <x:v>抖音月覆盖（母词）</x:v>
      </x:c>
      <x:c r="N5" s="20" t="str">
        <x:v>小红书月均搜索（母词）</x:v>
      </x:c>
      <x:c r="O5" s="20" t="str">
        <x:v>热度口径</x:v>
      </x:c>
      <x:c r="P5" s="20" t="str">
        <x:v>热度参考值</x:v>
      </x:c>
      <x:c r="Q5" s="20" t="str">
        <x:v>热度等级</x:v>
      </x:c>
      <x:c r="R5" s="20" t="str">
        <x:v>搜索热度建议</x:v>
      </x:c>
      <x:c r="S5" s="20" t="str">
        <x:v>推荐理由</x:v>
      </x:c>
    </x:row>
    <x:row r="6" ht="38" customHeight="1">
      <x:c r="A6" s="29" t="n">
        <x:v>1</x:v>
      </x:c>
      <x:c r="B6" s="29" t="n">
        <x:f>RANK(P6,$P$6:$P$35,0)</x:f>
        <x:v>16</x:v>
      </x:c>
      <x:c r="C6" s="34" t="str">
        <x:v>品牌总盘</x:v>
      </x:c>
      <x:c r="D6" s="33" t="str">
        <x:v>品牌发现</x:v>
      </x:c>
      <x:c r="E6" s="33" t="str">
        <x:v>蓓养乐</x:v>
      </x:c>
      <x:c r="F6" s="27" t="str">
        <x:v>实测品牌词</x:v>
      </x:c>
      <x:c r="G6" s="29" t="str">
        <x:v>P0</x:v>
      </x:c>
      <x:c r="H6" s="29" t="str">
        <x:v>品牌主入口</x:v>
      </x:c>
      <x:c r="I6" s="31" t="n">
        <x:v>1414</x:v>
      </x:c>
      <x:c r="J6" s="31" t="n">
        <x:v>1326</x:v>
      </x:c>
      <x:c r="K6" s="29" t="n">
        <x:v>5</x:v>
      </x:c>
      <x:c r="L6" s="29" t="str">
        <x:v>蓓养乐</x:v>
      </x:c>
      <x:c r="M6" s="31" t="n">
        <x:v>1414</x:v>
      </x:c>
      <x:c r="N6" s="31" t="n">
        <x:v>1326</x:v>
      </x:c>
      <x:c r="O6" s="29" t="str">
        <x:v>本词实测</x:v>
      </x:c>
      <x:c r="P6" s="31" t="n">
        <x:f>IF(MAX(I6:J6)&gt;0,MAX(I6:J6),MAX(M6:N6))</x:f>
        <x:v>1414</x:v>
      </x:c>
      <x:c r="Q6" s="29" t="str">
        <x:f>IF(P6&gt;=100000,"S",IF(P6&gt;=10000,"A",IF(P6&gt;=1000,"B",IF(P6&gt;=100,"C",IF(P6&gt;0,"D","N")))))</x:f>
        <x:v>B</x:v>
      </x:c>
      <x:c r="R6" s="27" t="str">
        <x:v>B级品牌/产品词；优先防守并承接到事实页</x:v>
      </x:c>
      <x:c r="S6" s="27" t="str">
        <x:v>品牌精确词已有双平台搜索，应先建设品牌事实总页并串联四个产品。</x:v>
      </x:c>
    </x:row>
    <x:row r="7" ht="38" customHeight="1">
      <x:c r="A7" s="30" t="n">
        <x:v>2</x:v>
      </x:c>
      <x:c r="B7" s="30" t="n">
        <x:f>RANK(P7,$P$6:$P$35,0)</x:f>
        <x:v>12</x:v>
      </x:c>
      <x:c r="C7" s="36" t="str">
        <x:v>光子滤镜2.0</x:v>
      </x:c>
      <x:c r="D7" s="35" t="str">
        <x:v>产品发现</x:v>
      </x:c>
      <x:c r="E7" s="35" t="str">
        <x:v>蓓养乐光子滤镜丸</x:v>
      </x:c>
      <x:c r="F7" s="28" t="str">
        <x:v>实测产品词</x:v>
      </x:c>
      <x:c r="G7" s="30" t="str">
        <x:v>P0</x:v>
      </x:c>
      <x:c r="H7" s="30" t="str">
        <x:v>产品主入口</x:v>
      </x:c>
      <x:c r="I7" s="32" t="n">
        <x:v>292</x:v>
      </x:c>
      <x:c r="J7" s="32" t="n">
        <x:v>2360</x:v>
      </x:c>
      <x:c r="K7" s="30" t="n">
        <x:v>4</x:v>
      </x:c>
      <x:c r="L7" s="30" t="str">
        <x:v>口服美白</x:v>
      </x:c>
      <x:c r="M7" s="32" t="n">
        <x:v>3702</x:v>
      </x:c>
      <x:c r="N7" s="32" t="n">
        <x:v>2548</x:v>
      </x:c>
      <x:c r="O7" s="30" t="str">
        <x:v>本词实测</x:v>
      </x:c>
      <x:c r="P7" s="32" t="n">
        <x:f>IF(MAX(I7:J7)&gt;0,MAX(I7:J7),MAX(M7:N7))</x:f>
        <x:v>2360</x:v>
      </x:c>
      <x:c r="Q7" s="30" t="str">
        <x:f>IF(P7&gt;=100000,"S",IF(P7&gt;=10000,"A",IF(P7&gt;=1000,"B",IF(P7&gt;=100,"C",IF(P7&gt;0,"D","N")))))</x:f>
        <x:v>B</x:v>
      </x:c>
      <x:c r="R7" s="28" t="str">
        <x:v>B级品牌/产品词；优先防守并承接到事实页</x:v>
      </x:c>
      <x:c r="S7" s="28" t="str">
        <x:v>双平台已有明确产品搜索，是当前最成熟的蓓养乐产品品牌词。</x:v>
      </x:c>
    </x:row>
    <x:row r="8" ht="38" customHeight="1">
      <x:c r="A8" s="30" t="n">
        <x:v>3</x:v>
      </x:c>
      <x:c r="B8" s="30" t="n">
        <x:f>RANK(P8,$P$6:$P$35,0)</x:f>
        <x:v>23</x:v>
      </x:c>
      <x:c r="C8" s="38" t="str">
        <x:v>焕能小金瓶</x:v>
      </x:c>
      <x:c r="D8" s="37" t="str">
        <x:v>产品发现</x:v>
      </x:c>
      <x:c r="E8" s="37" t="str">
        <x:v>蓓养乐焕能小金瓶</x:v>
      </x:c>
      <x:c r="F8" s="28" t="str">
        <x:v>实测产品词</x:v>
      </x:c>
      <x:c r="G8" s="30" t="str">
        <x:v>P0</x:v>
      </x:c>
      <x:c r="H8" s="30" t="str">
        <x:v>产品主入口</x:v>
      </x:c>
      <x:c r="I8" s="32"/>
      <x:c r="J8" s="32" t="n">
        <x:v>682</x:v>
      </x:c>
      <x:c r="K8" s="30" t="n">
        <x:v>2</x:v>
      </x:c>
      <x:c r="L8" s="30" t="str">
        <x:v>镁补充剂怎么选</x:v>
      </x:c>
      <x:c r="M8" s="32" t="n">
        <x:v>1846</x:v>
      </x:c>
      <x:c r="N8" s="32" t="n">
        <x:v>89686</x:v>
      </x:c>
      <x:c r="O8" s="30" t="str">
        <x:v>本词实测</x:v>
      </x:c>
      <x:c r="P8" s="32" t="n">
        <x:f>IF(MAX(I8:J8)&gt;0,MAX(I8:J8),MAX(M8:N8))</x:f>
        <x:v>682</x:v>
      </x:c>
      <x:c r="Q8" s="30" t="str">
        <x:f>IF(P8&gt;=100000,"S",IF(P8&gt;=10000,"A",IF(P8&gt;=1000,"B",IF(P8&gt;=100,"C",IF(P8&gt;0,"D","N")))))</x:f>
        <x:v>C</x:v>
      </x:c>
      <x:c r="R8" s="28" t="str">
        <x:v>C级品牌/产品词；优先防守并承接到事实页</x:v>
      </x:c>
      <x:c r="S8" s="28" t="str">
        <x:v>小红书已有明确产品搜索，优先建立产品事实、成分和适用边界页。</x:v>
      </x:c>
    </x:row>
    <x:row r="9" ht="38" customHeight="1">
      <x:c r="A9" s="30" t="n">
        <x:v>4</x:v>
      </x:c>
      <x:c r="B9" s="30" t="n">
        <x:f>RANK(P9,$P$6:$P$35,0)</x:f>
        <x:v>22</x:v>
      </x:c>
      <x:c r="C9" s="40" t="str">
        <x:v>眼回春</x:v>
      </x:c>
      <x:c r="D9" s="39" t="str">
        <x:v>产品发现</x:v>
      </x:c>
      <x:c r="E9" s="39" t="str">
        <x:v>蓓养乐眼回春</x:v>
      </x:c>
      <x:c r="F9" s="28" t="str">
        <x:v>实测产品词</x:v>
      </x:c>
      <x:c r="G9" s="30" t="str">
        <x:v>P0</x:v>
      </x:c>
      <x:c r="H9" s="30" t="str">
        <x:v>产品主入口</x:v>
      </x:c>
      <x:c r="I9" s="32"/>
      <x:c r="J9" s="32" t="n">
        <x:v>714</x:v>
      </x:c>
      <x:c r="K9" s="30" t="n">
        <x:v>2</x:v>
      </x:c>
      <x:c r="L9" s="30" t="str">
        <x:v>护眼保健品</x:v>
      </x:c>
      <x:c r="M9" s="32" t="n">
        <x:v>4067</x:v>
      </x:c>
      <x:c r="N9" s="32" t="n">
        <x:v>11205</x:v>
      </x:c>
      <x:c r="O9" s="30" t="str">
        <x:v>本词实测</x:v>
      </x:c>
      <x:c r="P9" s="32" t="n">
        <x:f>IF(MAX(I9:J9)&gt;0,MAX(I9:J9),MAX(M9:N9))</x:f>
        <x:v>714</x:v>
      </x:c>
      <x:c r="Q9" s="30" t="str">
        <x:f>IF(P9&gt;=100000,"S",IF(P9&gt;=10000,"A",IF(P9&gt;=1000,"B",IF(P9&gt;=100,"C",IF(P9&gt;0,"D","N")))))</x:f>
        <x:v>C</x:v>
      </x:c>
      <x:c r="R9" s="28" t="str">
        <x:v>C级品牌/产品词；优先防守并承接到事实页</x:v>
      </x:c>
      <x:c r="S9" s="28" t="str">
        <x:v>小红书已有明确产品搜索，应优先建立产品事实、成分、用量和证据对象。</x:v>
      </x:c>
    </x:row>
    <x:row r="10" ht="38" customHeight="1">
      <x:c r="A10" s="30" t="n">
        <x:v>5</x:v>
      </x:c>
      <x:c r="B10" s="30" t="n">
        <x:f>RANK(P10,$P$6:$P$35,0)</x:f>
        <x:v>3</x:v>
      </x:c>
      <x:c r="C10" s="38" t="str">
        <x:v>焕能小金瓶</x:v>
      </x:c>
      <x:c r="D10" s="37" t="str">
        <x:v>比较选择</x:v>
      </x:c>
      <x:c r="E10" s="37" t="str">
        <x:v>镁补充剂怎么选</x:v>
      </x:c>
      <x:c r="F10" s="28" t="str">
        <x:v>实测品类词</x:v>
      </x:c>
      <x:c r="G10" s="30" t="str">
        <x:v>P0</x:v>
      </x:c>
      <x:c r="H10" s="30" t="str">
        <x:v>重点承接</x:v>
      </x:c>
      <x:c r="I10" s="32" t="n">
        <x:v>1846</x:v>
      </x:c>
      <x:c r="J10" s="32" t="n">
        <x:v>89686</x:v>
      </x:c>
      <x:c r="K10" s="30" t="n">
        <x:v>4</x:v>
      </x:c>
      <x:c r="L10" s="30" t="str">
        <x:v>镁补充剂怎么选</x:v>
      </x:c>
      <x:c r="M10" s="32" t="n">
        <x:v>1846</x:v>
      </x:c>
      <x:c r="N10" s="32" t="n">
        <x:v>89686</x:v>
      </x:c>
      <x:c r="O10" s="30" t="str">
        <x:v>本词实测</x:v>
      </x:c>
      <x:c r="P10" s="32" t="n">
        <x:f>IF(MAX(I10:J10)&gt;0,MAX(I10:J10),MAX(M10:N10))</x:f>
        <x:v>89686</x:v>
      </x:c>
      <x:c r="Q10" s="30" t="str">
        <x:f>IF(P10&gt;=100000,"S",IF(P10&gt;=10000,"A",IF(P10&gt;=1000,"B",IF(P10&gt;=100,"C",IF(P10&gt;0,"D","N")))))</x:f>
        <x:v>A</x:v>
      </x:c>
      <x:c r="R10" s="28" t="str">
        <x:v>A级品类需求；适合重点布局，并用比较标准承接强需求</x:v>
      </x:c>
      <x:c r="S10" s="28" t="str">
        <x:v>小红书月均搜索接近9万，是四产品中最强的成熟决策入口。</x:v>
      </x:c>
    </x:row>
    <x:row r="11" ht="38" customHeight="1">
      <x:c r="A11" s="30" t="n">
        <x:v>6</x:v>
      </x:c>
      <x:c r="B11" s="30" t="n">
        <x:f>RANK(P11,$P$6:$P$35,0)</x:f>
        <x:v>13</x:v>
      </x:c>
      <x:c r="C11" s="42" t="str">
        <x:v>复原小红瓶</x:v>
      </x:c>
      <x:c r="D11" s="41" t="str">
        <x:v>比较选择</x:v>
      </x:c>
      <x:c r="E11" s="41" t="str">
        <x:v>辅酶Q10怎么选</x:v>
      </x:c>
      <x:c r="F11" s="28" t="str">
        <x:v>实测品类词</x:v>
      </x:c>
      <x:c r="G11" s="30" t="str">
        <x:v>P0</x:v>
      </x:c>
      <x:c r="H11" s="30" t="str">
        <x:v>重点承接</x:v>
      </x:c>
      <x:c r="I11" s="32" t="n">
        <x:v>1003</x:v>
      </x:c>
      <x:c r="J11" s="32" t="n">
        <x:v>2021</x:v>
      </x:c>
      <x:c r="K11" s="30" t="n">
        <x:v>5</x:v>
      </x:c>
      <x:c r="L11" s="30" t="str">
        <x:v>辅酶Q10怎么选</x:v>
      </x:c>
      <x:c r="M11" s="32" t="n">
        <x:v>1003</x:v>
      </x:c>
      <x:c r="N11" s="32" t="n">
        <x:v>2021</x:v>
      </x:c>
      <x:c r="O11" s="30" t="str">
        <x:v>本词实测</x:v>
      </x:c>
      <x:c r="P11" s="32" t="n">
        <x:f>IF(MAX(I11:J11)&gt;0,MAX(I11:J11),MAX(M11:N11))</x:f>
        <x:v>2021</x:v>
      </x:c>
      <x:c r="Q11" s="30" t="str">
        <x:f>IF(P11&gt;=100000,"S",IF(P11&gt;=10000,"A",IF(P11&gt;=1000,"B",IF(P11&gt;=100,"C",IF(P11&gt;0,"D","N")))))</x:f>
        <x:v>B</x:v>
      </x:c>
      <x:c r="R11" s="28" t="str">
        <x:v>B级品类需求；适合稳定建设产品页、问答页与对比页</x:v>
      </x:c>
      <x:c r="S11" s="28" t="str">
        <x:v>五类来源均有信号，是最接近产品选择的成熟问题。</x:v>
      </x:c>
    </x:row>
    <x:row r="12" ht="38" customHeight="1">
      <x:c r="A12" s="30" t="n">
        <x:v>7</x:v>
      </x:c>
      <x:c r="B12" s="30" t="n">
        <x:f>RANK(P12,$P$6:$P$35,0)</x:f>
        <x:v>28</x:v>
      </x:c>
      <x:c r="C12" s="44" t="str">
        <x:v>品牌总盘</x:v>
      </x:c>
      <x:c r="D12" s="43" t="str">
        <x:v>产品矩阵</x:v>
      </x:c>
      <x:c r="E12" s="43" t="str">
        <x:v>蓓养乐产品</x:v>
      </x:c>
      <x:c r="F12" s="28" t="str">
        <x:v>实测品牌词</x:v>
      </x:c>
      <x:c r="G12" s="30" t="str">
        <x:v>P0</x:v>
      </x:c>
      <x:c r="H12" s="30" t="str">
        <x:v>产品导航</x:v>
      </x:c>
      <x:c r="I12" s="32" t="n">
        <x:v>2</x:v>
      </x:c>
      <x:c r="J12" s="32"/>
      <x:c r="K12" s="30" t="n">
        <x:v>2</x:v>
      </x:c>
      <x:c r="L12" s="30" t="str">
        <x:v>蓓养乐</x:v>
      </x:c>
      <x:c r="M12" s="32" t="n">
        <x:v>1414</x:v>
      </x:c>
      <x:c r="N12" s="32" t="n">
        <x:v>1326</x:v>
      </x:c>
      <x:c r="O12" s="30" t="str">
        <x:v>本词实测</x:v>
      </x:c>
      <x:c r="P12" s="32" t="n">
        <x:f>IF(MAX(I12:J12)&gt;0,MAX(I12:J12),MAX(M12:N12))</x:f>
        <x:v>2</x:v>
      </x:c>
      <x:c r="Q12" s="30" t="str">
        <x:f>IF(P12&gt;=100000,"S",IF(P12&gt;=10000,"A",IF(P12&gt;=1000,"B",IF(P12&gt;=100,"C",IF(P12&gt;0,"D","N")))))</x:f>
        <x:v>D</x:v>
      </x:c>
      <x:c r="R12" s="28" t="str">
        <x:v>D级品牌/产品词；优先防守并承接到事实页</x:v>
      </x:c>
      <x:c r="S12" s="28" t="str">
        <x:v>建立四产品入口与人群、场景、成分和证据差异，减少品牌与单品关系混乱。</x:v>
      </x:c>
    </x:row>
    <x:row r="13" ht="38" customHeight="1">
      <x:c r="A13" s="30" t="n">
        <x:v>8</x:v>
      </x:c>
      <x:c r="B13" s="30" t="n">
        <x:f>RANK(P13,$P$6:$P$35,0)</x:f>
        <x:v>16</x:v>
      </x:c>
      <x:c r="C13" s="44" t="str">
        <x:v>品牌总盘</x:v>
      </x:c>
      <x:c r="D13" s="43" t="str">
        <x:v>品牌口碑</x:v>
      </x:c>
      <x:c r="E13" s="43" t="str">
        <x:v>蓓养乐怎么样</x:v>
      </x:c>
      <x:c r="F13" s="28" t="str">
        <x:v>品牌组合建议词</x:v>
      </x:c>
      <x:c r="G13" s="30" t="str">
        <x:v>P0</x:v>
      </x:c>
      <x:c r="H13" s="30" t="str">
        <x:v>信任验证</x:v>
      </x:c>
      <x:c r="I13" s="32"/>
      <x:c r="J13" s="32"/>
      <x:c r="K13" s="30" t="n">
        <x:v>0</x:v>
      </x:c>
      <x:c r="L13" s="30" t="str">
        <x:v>蓓养乐</x:v>
      </x:c>
      <x:c r="M13" s="32" t="n">
        <x:v>1414</x:v>
      </x:c>
      <x:c r="N13" s="32" t="n">
        <x:v>1326</x:v>
      </x:c>
      <x:c r="O13" s="30" t="str">
        <x:v>母词参考</x:v>
      </x:c>
      <x:c r="P13" s="32" t="n">
        <x:f>IF(MAX(I13:J13)&gt;0,MAX(I13:J13),MAX(M13:N13))</x:f>
        <x:v>1414</x:v>
      </x:c>
      <x:c r="Q13" s="30" t="str">
        <x:f>IF(P13&gt;=100000,"S",IF(P13&gt;=10000,"A",IF(P13&gt;=1000,"B",IF(P13&gt;=100,"C",IF(P13&gt;0,"D","N")))))</x:f>
        <x:v>B</x:v>
      </x:c>
      <x:c r="R13" s="28" t="str">
        <x:v>B级母词参考；先建品牌/产品事实页，持续监测独立量</x:v>
      </x:c>
      <x:c r="S13" s="28" t="str">
        <x:v>回答品牌定位、产品矩阵、证据对象与适用边界，避免空泛自夸。</x:v>
      </x:c>
    </x:row>
    <x:row r="14" ht="38" customHeight="1">
      <x:c r="A14" s="30" t="n">
        <x:v>9</x:v>
      </x:c>
      <x:c r="B14" s="30" t="n">
        <x:f>RANK(P14,$P$6:$P$35,0)</x:f>
        <x:v>16</x:v>
      </x:c>
      <x:c r="C14" s="44" t="str">
        <x:v>品牌总盘</x:v>
      </x:c>
      <x:c r="D14" s="43" t="str">
        <x:v>可靠性判断</x:v>
      </x:c>
      <x:c r="E14" s="43" t="str">
        <x:v>蓓养乐靠谱吗</x:v>
      </x:c>
      <x:c r="F14" s="28" t="str">
        <x:v>品牌组合建议词</x:v>
      </x:c>
      <x:c r="G14" s="30" t="str">
        <x:v>P0</x:v>
      </x:c>
      <x:c r="H14" s="30" t="str">
        <x:v>信任验证</x:v>
      </x:c>
      <x:c r="I14" s="32"/>
      <x:c r="J14" s="32"/>
      <x:c r="K14" s="30" t="n">
        <x:v>0</x:v>
      </x:c>
      <x:c r="L14" s="30" t="str">
        <x:v>蓓养乐</x:v>
      </x:c>
      <x:c r="M14" s="32" t="n">
        <x:v>1414</x:v>
      </x:c>
      <x:c r="N14" s="32" t="n">
        <x:v>1326</x:v>
      </x:c>
      <x:c r="O14" s="30" t="str">
        <x:v>母词参考</x:v>
      </x:c>
      <x:c r="P14" s="32" t="n">
        <x:f>IF(MAX(I14:J14)&gt;0,MAX(I14:J14),MAX(M14:N14))</x:f>
        <x:v>1414</x:v>
      </x:c>
      <x:c r="Q14" s="30" t="str">
        <x:f>IF(P14&gt;=100000,"S",IF(P14&gt;=10000,"A",IF(P14&gt;=1000,"B",IF(P14&gt;=100,"C",IF(P14&gt;0,"D","N")))))</x:f>
        <x:v>B</x:v>
      </x:c>
      <x:c r="R14" s="28" t="str">
        <x:v>B级母词参考；先建品牌/产品事实页，持续监测独立量</x:v>
      </x:c>
      <x:c r="S14" s="28" t="str">
        <x:v>用主体、标签、质检、成品研究和公开渠道组成可核对的可靠性答案。</x:v>
      </x:c>
    </x:row>
    <x:row r="15" ht="38" customHeight="1">
      <x:c r="A15" s="30" t="n">
        <x:v>10</x:v>
      </x:c>
      <x:c r="B15" s="30" t="n">
        <x:f>RANK(P15,$P$6:$P$35,0)</x:f>
        <x:v>16</x:v>
      </x:c>
      <x:c r="C15" s="44" t="str">
        <x:v>品牌总盘</x:v>
      </x:c>
      <x:c r="D15" s="43" t="str">
        <x:v>官方渠道</x:v>
      </x:c>
      <x:c r="E15" s="43" t="str">
        <x:v>蓓养乐官方旗舰店</x:v>
      </x:c>
      <x:c r="F15" s="28" t="str">
        <x:v>实测品牌长尾</x:v>
      </x:c>
      <x:c r="G15" s="30" t="str">
        <x:v>P0</x:v>
      </x:c>
      <x:c r="H15" s="30" t="str">
        <x:v>渠道防守</x:v>
      </x:c>
      <x:c r="I15" s="32"/>
      <x:c r="J15" s="32"/>
      <x:c r="K15" s="30" t="n">
        <x:v>1</x:v>
      </x:c>
      <x:c r="L15" s="30" t="str">
        <x:v>蓓养乐</x:v>
      </x:c>
      <x:c r="M15" s="32" t="n">
        <x:v>1414</x:v>
      </x:c>
      <x:c r="N15" s="32" t="n">
        <x:v>1326</x:v>
      </x:c>
      <x:c r="O15" s="30" t="str">
        <x:v>母词参考</x:v>
      </x:c>
      <x:c r="P15" s="32" t="n">
        <x:f>IF(MAX(I15:J15)&gt;0,MAX(I15:J15),MAX(M15:N15))</x:f>
        <x:v>1414</x:v>
      </x:c>
      <x:c r="Q15" s="30" t="str">
        <x:f>IF(P15&gt;=100000,"S",IF(P15&gt;=10000,"A",IF(P15&gt;=1000,"B",IF(P15&gt;=100,"C",IF(P15&gt;0,"D","N")))))</x:f>
        <x:v>B</x:v>
      </x:c>
      <x:c r="R15" s="28" t="str">
        <x:v>B级母词参考；先建品牌/产品事实页，持续监测独立量</x:v>
      </x:c>
      <x:c r="S15" s="28" t="str">
        <x:v>承接正品、购买、售后问题；发布前需品牌方确认有效店铺链接和主体。</x:v>
      </x:c>
    </x:row>
    <x:row r="16" ht="38" customHeight="1">
      <x:c r="A16" s="30" t="n">
        <x:v>11</x:v>
      </x:c>
      <x:c r="B16" s="30" t="n">
        <x:f>RANK(P16,$P$6:$P$35,0)</x:f>
        <x:v>20</x:v>
      </x:c>
      <x:c r="C16" s="36" t="str">
        <x:v>光子滤镜2.0</x:v>
      </x:c>
      <x:c r="D16" s="35" t="str">
        <x:v>产品别名</x:v>
      </x:c>
      <x:c r="E16" s="35" t="str">
        <x:v>蓓养乐光子滤镜</x:v>
      </x:c>
      <x:c r="F16" s="28" t="str">
        <x:v>实测产品词</x:v>
      </x:c>
      <x:c r="G16" s="30" t="str">
        <x:v>P0</x:v>
      </x:c>
      <x:c r="H16" s="30" t="str">
        <x:v>品牌防守</x:v>
      </x:c>
      <x:c r="I16" s="32" t="n">
        <x:v>1066</x:v>
      </x:c>
      <x:c r="J16" s="32"/>
      <x:c r="K16" s="30" t="n">
        <x:v>2</x:v>
      </x:c>
      <x:c r="L16" s="30" t="str">
        <x:v>口服美白</x:v>
      </x:c>
      <x:c r="M16" s="32" t="n">
        <x:v>3702</x:v>
      </x:c>
      <x:c r="N16" s="32" t="n">
        <x:v>2548</x:v>
      </x:c>
      <x:c r="O16" s="30" t="str">
        <x:v>本词实测</x:v>
      </x:c>
      <x:c r="P16" s="32" t="n">
        <x:f>IF(MAX(I16:J16)&gt;0,MAX(I16:J16),MAX(M16:N16))</x:f>
        <x:v>1066</x:v>
      </x:c>
      <x:c r="Q16" s="30" t="str">
        <x:f>IF(P16&gt;=100000,"S",IF(P16&gt;=10000,"A",IF(P16&gt;=1000,"B",IF(P16&gt;=100,"C",IF(P16&gt;0,"D","N")))))</x:f>
        <x:v>B</x:v>
      </x:c>
      <x:c r="R16" s="28" t="str">
        <x:v>B级品牌/产品词；优先防守并承接到事实页</x:v>
      </x:c>
      <x:c r="S16" s="28" t="str">
        <x:v>统一光子滤镜、光子滤镜丸、光子滤镜2.0的版本和命名关系。</x:v>
      </x:c>
    </x:row>
    <x:row r="17" ht="38" customHeight="1">
      <x:c r="A17" s="30" t="n">
        <x:v>12</x:v>
      </x:c>
      <x:c r="B17" s="30" t="n">
        <x:f>RANK(P17,$P$6:$P$35,0)</x:f>
        <x:v>26</x:v>
      </x:c>
      <x:c r="C17" s="36" t="str">
        <x:v>光子滤镜2.0</x:v>
      </x:c>
      <x:c r="D17" s="35" t="str">
        <x:v>核心成分</x:v>
      </x:c>
      <x:c r="E17" s="35" t="str">
        <x:v>蓓养乐麦角硫因</x:v>
      </x:c>
      <x:c r="F17" s="28" t="str">
        <x:v>实测产品长尾</x:v>
      </x:c>
      <x:c r="G17" s="30" t="str">
        <x:v>P0</x:v>
      </x:c>
      <x:c r="H17" s="30" t="str">
        <x:v>证据承接</x:v>
      </x:c>
      <x:c r="I17" s="32" t="n">
        <x:v>84</x:v>
      </x:c>
      <x:c r="J17" s="32" t="n">
        <x:v>325</x:v>
      </x:c>
      <x:c r="K17" s="30" t="n">
        <x:v>5</x:v>
      </x:c>
      <x:c r="L17" s="30" t="str">
        <x:v>口服美白产品真的有用吗</x:v>
      </x:c>
      <x:c r="M17" s="32" t="n">
        <x:v>271</x:v>
      </x:c>
      <x:c r="N17" s="32" t="n">
        <x:v>555</x:v>
      </x:c>
      <x:c r="O17" s="30" t="str">
        <x:v>本词实测</x:v>
      </x:c>
      <x:c r="P17" s="32" t="n">
        <x:f>IF(MAX(I17:J17)&gt;0,MAX(I17:J17),MAX(M17:N17))</x:f>
        <x:v>325</x:v>
      </x:c>
      <x:c r="Q17" s="30" t="str">
        <x:f>IF(P17&gt;=100000,"S",IF(P17&gt;=10000,"A",IF(P17&gt;=1000,"B",IF(P17&gt;=100,"C",IF(P17&gt;0,"D","N")))))</x:f>
        <x:v>C</x:v>
      </x:c>
      <x:c r="R17" s="28" t="str">
        <x:v>C级品牌/产品词；优先防守并承接到事实页</x:v>
      </x:c>
      <x:c r="S17" s="28" t="str">
        <x:v>五类来源均出现，应解释成分、成品与人体试食证据的适用边界。</x:v>
      </x:c>
    </x:row>
    <x:row r="18" ht="38" customHeight="1">
      <x:c r="A18" s="30" t="n">
        <x:v>13</x:v>
      </x:c>
      <x:c r="B18" s="30" t="n">
        <x:f>RANK(P18,$P$6:$P$35,0)</x:f>
        <x:v>25</x:v>
      </x:c>
      <x:c r="C18" s="36" t="str">
        <x:v>光子滤镜2.0</x:v>
      </x:c>
      <x:c r="D18" s="35" t="str">
        <x:v>效果验证</x:v>
      </x:c>
      <x:c r="E18" s="35" t="str">
        <x:v>口服美白产品真的有用吗</x:v>
      </x:c>
      <x:c r="F18" s="28" t="str">
        <x:v>实测品类词</x:v>
      </x:c>
      <x:c r="G18" s="30" t="str">
        <x:v>P0</x:v>
      </x:c>
      <x:c r="H18" s="30" t="str">
        <x:v>证据承接</x:v>
      </x:c>
      <x:c r="I18" s="32" t="n">
        <x:v>271</x:v>
      </x:c>
      <x:c r="J18" s="32" t="n">
        <x:v>555</x:v>
      </x:c>
      <x:c r="K18" s="30" t="n">
        <x:v>5</x:v>
      </x:c>
      <x:c r="L18" s="30" t="str">
        <x:v>口服美白产品真的有用吗</x:v>
      </x:c>
      <x:c r="M18" s="32" t="n">
        <x:v>271</x:v>
      </x:c>
      <x:c r="N18" s="32" t="n">
        <x:v>555</x:v>
      </x:c>
      <x:c r="O18" s="30" t="str">
        <x:v>本词实测</x:v>
      </x:c>
      <x:c r="P18" s="32" t="n">
        <x:f>IF(MAX(I18:J18)&gt;0,MAX(I18:J18),MAX(M18:N18))</x:f>
        <x:v>555</x:v>
      </x:c>
      <x:c r="Q18" s="30" t="str">
        <x:f>IF(P18&gt;=100000,"S",IF(P18&gt;=10000,"A",IF(P18&gt;=1000,"B",IF(P18&gt;=100,"C",IF(P18&gt;0,"D","N")))))</x:f>
        <x:v>C</x:v>
      </x:c>
      <x:c r="R18" s="28" t="str">
        <x:v>C级品类需求；适合品牌防守和细分决策词占位</x:v>
      </x:c>
      <x:c r="S18" s="28" t="str">
        <x:v>直接进入证据判断节点，可解释研究测了什么、没有证明什么。</x:v>
      </x:c>
    </x:row>
    <x:row r="19" ht="38" customHeight="1">
      <x:c r="A19" s="30" t="n">
        <x:v>14</x:v>
      </x:c>
      <x:c r="B19" s="30" t="n">
        <x:f>RANK(P19,$P$6:$P$35,0)</x:f>
        <x:v>4</x:v>
      </x:c>
      <x:c r="C19" s="40" t="str">
        <x:v>眼回春</x:v>
      </x:c>
      <x:c r="D19" s="39" t="str">
        <x:v>品类选择</x:v>
      </x:c>
      <x:c r="E19" s="39" t="str">
        <x:v>护眼保健品</x:v>
      </x:c>
      <x:c r="F19" s="28" t="str">
        <x:v>实测品类词</x:v>
      </x:c>
      <x:c r="G19" s="30" t="str">
        <x:v>P0</x:v>
      </x:c>
      <x:c r="H19" s="30" t="str">
        <x:v>重点承接</x:v>
      </x:c>
      <x:c r="I19" s="32" t="n">
        <x:v>4067</x:v>
      </x:c>
      <x:c r="J19" s="32" t="n">
        <x:v>11205</x:v>
      </x:c>
      <x:c r="K19" s="30" t="n">
        <x:v>5</x:v>
      </x:c>
      <x:c r="L19" s="30" t="str">
        <x:v>护眼保健品</x:v>
      </x:c>
      <x:c r="M19" s="32" t="n">
        <x:v>4067</x:v>
      </x:c>
      <x:c r="N19" s="32" t="n">
        <x:v>11205</x:v>
      </x:c>
      <x:c r="O19" s="30" t="str">
        <x:v>本词实测</x:v>
      </x:c>
      <x:c r="P19" s="32" t="n">
        <x:f>IF(MAX(I19:J19)&gt;0,MAX(I19:J19),MAX(M19:N19))</x:f>
        <x:v>11205</x:v>
      </x:c>
      <x:c r="Q19" s="30" t="str">
        <x:f>IF(P19&gt;=100000,"S",IF(P19&gt;=10000,"A",IF(P19&gt;=1000,"B",IF(P19&gt;=100,"C",IF(P19&gt;0,"D","N")))))</x:f>
        <x:v>A</x:v>
      </x:c>
      <x:c r="R19" s="28" t="str">
        <x:v>A级品类需求；适合重点布局，并用比较标准承接强需求</x:v>
      </x:c>
      <x:c r="S19" s="28" t="str">
        <x:v>双平台均有稳定需求，可建立用量、复配、成品试食与选择标准。</x:v>
      </x:c>
    </x:row>
    <x:row r="20" ht="38" customHeight="1">
      <x:c r="A20" s="30" t="n">
        <x:v>15</x:v>
      </x:c>
      <x:c r="B20" s="30" t="n">
        <x:f>RANK(P20,$P$6:$P$35,0)</x:f>
        <x:v>10</x:v>
      </x:c>
      <x:c r="C20" s="40" t="str">
        <x:v>眼回春</x:v>
      </x:c>
      <x:c r="D20" s="39" t="str">
        <x:v>成分比较</x:v>
      </x:c>
      <x:c r="E20" s="39" t="str">
        <x:v>越橘叶黄素</x:v>
      </x:c>
      <x:c r="F20" s="28" t="str">
        <x:v>实测品类词</x:v>
      </x:c>
      <x:c r="G20" s="30" t="str">
        <x:v>P0</x:v>
      </x:c>
      <x:c r="H20" s="30" t="str">
        <x:v>重点承接</x:v>
      </x:c>
      <x:c r="I20" s="32" t="n">
        <x:v>3217</x:v>
      </x:c>
      <x:c r="J20" s="32" t="n">
        <x:v>656</x:v>
      </x:c>
      <x:c r="K20" s="30" t="n">
        <x:v>5</x:v>
      </x:c>
      <x:c r="L20" s="30" t="str">
        <x:v>越橘叶黄素</x:v>
      </x:c>
      <x:c r="M20" s="32" t="n">
        <x:v>3217</x:v>
      </x:c>
      <x:c r="N20" s="32" t="n">
        <x:v>656</x:v>
      </x:c>
      <x:c r="O20" s="30" t="str">
        <x:v>本词实测</x:v>
      </x:c>
      <x:c r="P20" s="32" t="n">
        <x:f>IF(MAX(I20:J20)&gt;0,MAX(I20:J20),MAX(M20:N20))</x:f>
        <x:v>3217</x:v>
      </x:c>
      <x:c r="Q20" s="30" t="str">
        <x:f>IF(P20&gt;=100000,"S",IF(P20&gt;=10000,"A",IF(P20&gt;=1000,"B",IF(P20&gt;=100,"C",IF(P20&gt;0,"D","N")))))</x:f>
        <x:v>B</x:v>
      </x:c>
      <x:c r="R20" s="28" t="str">
        <x:v>B级品类需求；适合稳定建设产品页、问答页与对比页</x:v>
      </x:c>
      <x:c r="S20" s="28" t="str">
        <x:v>与眼回春复配特征直接匹配，适合建立成分到成品的证据链。</x:v>
      </x:c>
    </x:row>
    <x:row r="21" ht="38" customHeight="1">
      <x:c r="A21" s="30" t="n">
        <x:v>16</x:v>
      </x:c>
      <x:c r="B21" s="30" t="n">
        <x:f>RANK(P21,$P$6:$P$35,0)</x:f>
        <x:v>27</x:v>
      </x:c>
      <x:c r="C21" s="44" t="str">
        <x:v>品牌总盘</x:v>
      </x:c>
      <x:c r="D21" s="43" t="str">
        <x:v>品牌身份</x:v>
      </x:c>
      <x:c r="E21" s="43" t="str">
        <x:v>蓓养乐品牌</x:v>
      </x:c>
      <x:c r="F21" s="28" t="str">
        <x:v>实测品牌词</x:v>
      </x:c>
      <x:c r="G21" s="30" t="str">
        <x:v>P1</x:v>
      </x:c>
      <x:c r="H21" s="30" t="str">
        <x:v>品牌防守</x:v>
      </x:c>
      <x:c r="I21" s="32" t="n">
        <x:v>5</x:v>
      </x:c>
      <x:c r="J21" s="32"/>
      <x:c r="K21" s="30" t="n">
        <x:v>2</x:v>
      </x:c>
      <x:c r="L21" s="30" t="str">
        <x:v>蓓养乐</x:v>
      </x:c>
      <x:c r="M21" s="32" t="n">
        <x:v>1414</x:v>
      </x:c>
      <x:c r="N21" s="32" t="n">
        <x:v>1326</x:v>
      </x:c>
      <x:c r="O21" s="30" t="str">
        <x:v>本词实测</x:v>
      </x:c>
      <x:c r="P21" s="32" t="n">
        <x:f>IF(MAX(I21:J21)&gt;0,MAX(I21:J21),MAX(M21:N21))</x:f>
        <x:v>5</x:v>
      </x:c>
      <x:c r="Q21" s="30" t="str">
        <x:f>IF(P21&gt;=100000,"S",IF(P21&gt;=10000,"A",IF(P21&gt;=1000,"B",IF(P21&gt;=100,"C",IF(P21&gt;0,"D","N")))))</x:f>
        <x:v>D</x:v>
      </x:c>
      <x:c r="R21" s="28" t="str">
        <x:v>D级品牌/产品词；优先防守并承接到事实页</x:v>
      </x:c>
      <x:c r="S21" s="28" t="str">
        <x:v>统一中英文名、主体关系、品牌定位与常见误写。</x:v>
      </x:c>
    </x:row>
    <x:row r="22" ht="38" customHeight="1">
      <x:c r="A22" s="30" t="n">
        <x:v>17</x:v>
      </x:c>
      <x:c r="B22" s="30" t="n">
        <x:f>RANK(P22,$P$6:$P$35,0)</x:f>
        <x:v>13</x:v>
      </x:c>
      <x:c r="C22" s="42" t="str">
        <x:v>复原小红瓶</x:v>
      </x:c>
      <x:c r="D22" s="41" t="str">
        <x:v>品牌成分关联</x:v>
      </x:c>
      <x:c r="E22" s="41" t="str">
        <x:v>蓓养乐辅酶Q10</x:v>
      </x:c>
      <x:c r="F22" s="28" t="str">
        <x:v>实测产品长尾</x:v>
      </x:c>
      <x:c r="G22" s="30" t="str">
        <x:v>P1</x:v>
      </x:c>
      <x:c r="H22" s="30" t="str">
        <x:v>产品认知</x:v>
      </x:c>
      <x:c r="I22" s="32"/>
      <x:c r="J22" s="32"/>
      <x:c r="K22" s="30" t="n">
        <x:v>1</x:v>
      </x:c>
      <x:c r="L22" s="30" t="str">
        <x:v>辅酶Q10怎么选</x:v>
      </x:c>
      <x:c r="M22" s="32" t="n">
        <x:v>1003</x:v>
      </x:c>
      <x:c r="N22" s="32" t="n">
        <x:v>2021</x:v>
      </x:c>
      <x:c r="O22" s="30" t="str">
        <x:v>母词参考</x:v>
      </x:c>
      <x:c r="P22" s="32" t="n">
        <x:f>IF(MAX(I22:J22)&gt;0,MAX(I22:J22),MAX(M22:N22))</x:f>
        <x:v>2021</x:v>
      </x:c>
      <x:c r="Q22" s="30" t="str">
        <x:f>IF(P22&gt;=100000,"S",IF(P22&gt;=10000,"A",IF(P22&gt;=1000,"B",IF(P22&gt;=100,"C",IF(P22&gt;0,"D","N")))))</x:f>
        <x:v>B</x:v>
      </x:c>
      <x:c r="R22" s="28" t="str">
        <x:v>B级母词参考；先建品牌/产品事实页，持续监测独立量</x:v>
      </x:c>
      <x:c r="S22" s="28" t="str">
        <x:v>用产品标签口径解释Q10、PQQ、尿石素A等成分关系，不把原料机理直接写成成品效果。</x:v>
      </x:c>
    </x:row>
    <x:row r="23" ht="38" customHeight="1">
      <x:c r="A23" s="30" t="n">
        <x:v>18</x:v>
      </x:c>
      <x:c r="B23" s="30" t="n">
        <x:f>RANK(P23,$P$6:$P$35,0)</x:f>
        <x:v>13</x:v>
      </x:c>
      <x:c r="C23" s="42" t="str">
        <x:v>复原小红瓶</x:v>
      </x:c>
      <x:c r="D23" s="41" t="str">
        <x:v>成分与配方</x:v>
      </x:c>
      <x:c r="E23" s="41" t="str">
        <x:v>复原小红瓶成分</x:v>
      </x:c>
      <x:c r="F23" s="28" t="str">
        <x:v>产品组合建议词</x:v>
      </x:c>
      <x:c r="G23" s="30" t="str">
        <x:v>P1</x:v>
      </x:c>
      <x:c r="H23" s="30" t="str">
        <x:v>产品事实</x:v>
      </x:c>
      <x:c r="I23" s="32"/>
      <x:c r="J23" s="32"/>
      <x:c r="K23" s="30" t="n">
        <x:v>0</x:v>
      </x:c>
      <x:c r="L23" s="30" t="str">
        <x:v>辅酶Q10怎么选</x:v>
      </x:c>
      <x:c r="M23" s="32" t="n">
        <x:v>1003</x:v>
      </x:c>
      <x:c r="N23" s="32" t="n">
        <x:v>2021</x:v>
      </x:c>
      <x:c r="O23" s="30" t="str">
        <x:v>母词参考</x:v>
      </x:c>
      <x:c r="P23" s="32" t="n">
        <x:f>IF(MAX(I23:J23)&gt;0,MAX(I23:J23),MAX(M23:N23))</x:f>
        <x:v>2021</x:v>
      </x:c>
      <x:c r="Q23" s="30" t="str">
        <x:f>IF(P23&gt;=100000,"S",IF(P23&gt;=10000,"A",IF(P23&gt;=1000,"B",IF(P23&gt;=100,"C",IF(P23&gt;0,"D","N")))))</x:f>
        <x:v>B</x:v>
      </x:c>
      <x:c r="R23" s="28" t="str">
        <x:v>B级母词参考；先建品牌/产品事实页，持续监测独立量</x:v>
      </x:c>
      <x:c r="S23" s="28" t="str">
        <x:v>建立完整配方、每日食用量、重复摄入口径和证据对象。</x:v>
      </x:c>
    </x:row>
    <x:row r="24" ht="38" customHeight="1">
      <x:c r="A24" s="30" t="n">
        <x:v>19</x:v>
      </x:c>
      <x:c r="B24" s="30" t="n">
        <x:f>RANK(P24,$P$6:$P$35,0)</x:f>
        <x:v>21</x:v>
      </x:c>
      <x:c r="C24" s="42" t="str">
        <x:v>复原小红瓶</x:v>
      </x:c>
      <x:c r="D24" s="41" t="str">
        <x:v>精力场景</x:v>
      </x:c>
      <x:c r="E24" s="41" t="str">
        <x:v>抗疲劳保健品</x:v>
      </x:c>
      <x:c r="F24" s="28" t="str">
        <x:v>实测品类词</x:v>
      </x:c>
      <x:c r="G24" s="30" t="str">
        <x:v>P1</x:v>
      </x:c>
      <x:c r="H24" s="30" t="str">
        <x:v>场景承接</x:v>
      </x:c>
      <x:c r="I24" s="32" t="n">
        <x:v>729</x:v>
      </x:c>
      <x:c r="J24" s="32" t="n">
        <x:v>728</x:v>
      </x:c>
      <x:c r="K24" s="30" t="n">
        <x:v>4</x:v>
      </x:c>
      <x:c r="L24" s="30" t="str">
        <x:v>抗疲劳保健品</x:v>
      </x:c>
      <x:c r="M24" s="32" t="n">
        <x:v>729</x:v>
      </x:c>
      <x:c r="N24" s="32" t="n">
        <x:v>728</x:v>
      </x:c>
      <x:c r="O24" s="30" t="str">
        <x:v>本词实测</x:v>
      </x:c>
      <x:c r="P24" s="32" t="n">
        <x:f>IF(MAX(I24:J24)&gt;0,MAX(I24:J24),MAX(M24:N24))</x:f>
        <x:v>729</x:v>
      </x:c>
      <x:c r="Q24" s="30" t="str">
        <x:f>IF(P24&gt;=100000,"S",IF(P24&gt;=10000,"A",IF(P24&gt;=1000,"B",IF(P24&gt;=100,"C",IF(P24&gt;0,"D","N")))))</x:f>
        <x:v>C</x:v>
      </x:c>
      <x:c r="R24" s="28" t="str">
        <x:v>C级品类需求；适合品牌防守和细分决策词占位</x:v>
      </x:c>
      <x:c r="S24" s="28" t="str">
        <x:v>双平台量级稳定，可承接高压、恢复慢、日常疲惫场景，但不承诺固定效果。</x:v>
      </x:c>
    </x:row>
    <x:row r="25" ht="38" customHeight="1">
      <x:c r="A25" s="30" t="n">
        <x:v>20</x:v>
      </x:c>
      <x:c r="B25" s="30" t="n">
        <x:f>RANK(P25,$P$6:$P$35,0)</x:f>
        <x:v>6</x:v>
      </x:c>
      <x:c r="C25" s="42" t="str">
        <x:v>复原小红瓶</x:v>
      </x:c>
      <x:c r="D25" s="41" t="str">
        <x:v>安全边界</x:v>
      </x:c>
      <x:c r="E25" s="41" t="str">
        <x:v>辅酶Q10的副作用和危害</x:v>
      </x:c>
      <x:c r="F25" s="28" t="str">
        <x:v>实测品类词</x:v>
      </x:c>
      <x:c r="G25" s="30" t="str">
        <x:v>P1</x:v>
      </x:c>
      <x:c r="H25" s="30" t="str">
        <x:v>教育承接</x:v>
      </x:c>
      <x:c r="I25" s="32" t="n">
        <x:v>7073</x:v>
      </x:c>
      <x:c r="J25" s="32" t="n">
        <x:v>5776</x:v>
      </x:c>
      <x:c r="K25" s="30" t="n">
        <x:v>3</x:v>
      </x:c>
      <x:c r="L25" s="30" t="str">
        <x:v>辅酶Q10的副作用和危害</x:v>
      </x:c>
      <x:c r="M25" s="32" t="n">
        <x:v>7073</x:v>
      </x:c>
      <x:c r="N25" s="32" t="n">
        <x:v>5776</x:v>
      </x:c>
      <x:c r="O25" s="30" t="str">
        <x:v>本词实测</x:v>
      </x:c>
      <x:c r="P25" s="32" t="n">
        <x:f>IF(MAX(I25:J25)&gt;0,MAX(I25:J25),MAX(M25:N25))</x:f>
        <x:v>7073</x:v>
      </x:c>
      <x:c r="Q25" s="30" t="str">
        <x:f>IF(P25&gt;=100000,"S",IF(P25&gt;=10000,"A",IF(P25&gt;=1000,"B",IF(P25&gt;=100,"C",IF(P25&gt;0,"D","N")))))</x:f>
        <x:v>B</x:v>
      </x:c>
      <x:c r="R25" s="28" t="str">
        <x:v>B级需求；以教育、风险说明和分流为主</x:v>
      </x:c>
      <x:c r="S25" s="28" t="str">
        <x:v>搜索需求高，但应重点解释特殊人群、用药咨询和不适处理。</x:v>
      </x:c>
    </x:row>
    <x:row r="26" ht="38" customHeight="1">
      <x:c r="A26" s="30" t="n">
        <x:v>21</x:v>
      </x:c>
      <x:c r="B26" s="30" t="n">
        <x:f>RANK(P26,$P$6:$P$35,0)</x:f>
        <x:v>8</x:v>
      </x:c>
      <x:c r="C26" s="42" t="str">
        <x:v>复原小红瓶</x:v>
      </x:c>
      <x:c r="D26" s="41" t="str">
        <x:v>成分比较</x:v>
      </x:c>
      <x:c r="E26" s="41" t="str">
        <x:v>尿石素A</x:v>
      </x:c>
      <x:c r="F26" s="28" t="str">
        <x:v>实测品类词</x:v>
      </x:c>
      <x:c r="G26" s="30" t="str">
        <x:v>P1</x:v>
      </x:c>
      <x:c r="H26" s="30" t="str">
        <x:v>比较承接</x:v>
      </x:c>
      <x:c r="I26" s="32" t="n">
        <x:v>3920</x:v>
      </x:c>
      <x:c r="J26" s="32" t="n">
        <x:v>2942</x:v>
      </x:c>
      <x:c r="K26" s="30" t="n">
        <x:v>5</x:v>
      </x:c>
      <x:c r="L26" s="30" t="str">
        <x:v>尿石素A</x:v>
      </x:c>
      <x:c r="M26" s="32" t="n">
        <x:v>3920</x:v>
      </x:c>
      <x:c r="N26" s="32" t="n">
        <x:v>2942</x:v>
      </x:c>
      <x:c r="O26" s="30" t="str">
        <x:v>本词实测</x:v>
      </x:c>
      <x:c r="P26" s="32" t="n">
        <x:f>IF(MAX(I26:J26)&gt;0,MAX(I26:J26),MAX(M26:N26))</x:f>
        <x:v>3920</x:v>
      </x:c>
      <x:c r="Q26" s="30" t="str">
        <x:f>IF(P26&gt;=100000,"S",IF(P26&gt;=10000,"A",IF(P26&gt;=1000,"B",IF(P26&gt;=100,"C",IF(P26&gt;0,"D","N")))))</x:f>
        <x:v>B</x:v>
      </x:c>
      <x:c r="R26" s="28" t="str">
        <x:v>B级品类需求；适合稳定建设产品页、问答页与对比页</x:v>
      </x:c>
      <x:c r="S26" s="28" t="str">
        <x:v>适合做尿石素A、PQQ与辅酶Q10的证据分层和组合逻辑。</x:v>
      </x:c>
    </x:row>
    <x:row r="27" ht="38" customHeight="1">
      <x:c r="A27" s="30" t="n">
        <x:v>22</x:v>
      </x:c>
      <x:c r="B27" s="30" t="n">
        <x:f>RANK(P27,$P$6:$P$35,0)</x:f>
        <x:v>29</x:v>
      </x:c>
      <x:c r="C27" s="38" t="str">
        <x:v>焕能小金瓶</x:v>
      </x:c>
      <x:c r="D27" s="37" t="str">
        <x:v>差异化比较</x:v>
      </x:c>
      <x:c r="E27" s="37" t="str">
        <x:v>焕能小金瓶是不是褪黑素</x:v>
      </x:c>
      <x:c r="F27" s="28" t="str">
        <x:v>产品组合建议词</x:v>
      </x:c>
      <x:c r="G27" s="30" t="str">
        <x:v>P1</x:v>
      </x:c>
      <x:c r="H27" s="30" t="str">
        <x:v>概念占位</x:v>
      </x:c>
      <x:c r="I27" s="32"/>
      <x:c r="J27" s="32"/>
      <x:c r="K27" s="30" t="n">
        <x:v>0</x:v>
      </x:c>
      <x:c r="L27" s="30" t="str">
        <x:v>非褪黑素助眠产品</x:v>
      </x:c>
      <x:c r="M27" s="32"/>
      <x:c r="N27" s="32" t="n">
        <x:v>0</x:v>
      </x:c>
      <x:c r="O27" s="30" t="str">
        <x:v>母词参考</x:v>
      </x:c>
      <x:c r="P27" s="32" t="n">
        <x:f>IF(MAX(I27:J27)&gt;0,MAX(I27:J27),MAX(M27:N27))</x:f>
        <x:v>0</x:v>
      </x:c>
      <x:c r="Q27" s="30" t="str">
        <x:f>IF(P27&gt;=100000,"S",IF(P27&gt;=10000,"A",IF(P27&gt;=1000,"B",IF(P27&gt;=100,"C",IF(P27&gt;0,"D","N")))))</x:f>
        <x:v>N</x:v>
      </x:c>
      <x:c r="R27" s="28" t="str">
        <x:v>N级母词参考；先建品牌/产品事实页，持续监测独立量</x:v>
      </x:c>
      <x:c r="S27" s="28" t="str">
        <x:v>直接解释产品与褪黑素路径的区别，避免把营养支持写成治疗失眠。</x:v>
      </x:c>
    </x:row>
    <x:row r="28" ht="38" customHeight="1">
      <x:c r="A28" s="30" t="n">
        <x:v>23</x:v>
      </x:c>
      <x:c r="B28" s="30" t="n">
        <x:f>RANK(P28,$P$6:$P$35,0)</x:f>
        <x:v>24</x:v>
      </x:c>
      <x:c r="C28" s="38" t="str">
        <x:v>焕能小金瓶</x:v>
      </x:c>
      <x:c r="D28" s="37" t="str">
        <x:v>品类选择</x:v>
      </x:c>
      <x:c r="E28" s="37" t="str">
        <x:v>助眠保健品</x:v>
      </x:c>
      <x:c r="F28" s="28" t="str">
        <x:v>实测品类词</x:v>
      </x:c>
      <x:c r="G28" s="30" t="str">
        <x:v>P1</x:v>
      </x:c>
      <x:c r="H28" s="30" t="str">
        <x:v>比较承接</x:v>
      </x:c>
      <x:c r="I28" s="32" t="n">
        <x:v>680</x:v>
      </x:c>
      <x:c r="J28" s="32" t="n">
        <x:v>603</x:v>
      </x:c>
      <x:c r="K28" s="30" t="n">
        <x:v>5</x:v>
      </x:c>
      <x:c r="L28" s="30" t="str">
        <x:v>助眠保健品</x:v>
      </x:c>
      <x:c r="M28" s="32" t="n">
        <x:v>680</x:v>
      </x:c>
      <x:c r="N28" s="32" t="n">
        <x:v>603</x:v>
      </x:c>
      <x:c r="O28" s="30" t="str">
        <x:v>本词实测</x:v>
      </x:c>
      <x:c r="P28" s="32" t="n">
        <x:f>IF(MAX(I28:J28)&gt;0,MAX(I28:J28),MAX(M28:N28))</x:f>
        <x:v>680</x:v>
      </x:c>
      <x:c r="Q28" s="30" t="str">
        <x:f>IF(P28&gt;=100000,"S",IF(P28&gt;=10000,"A",IF(P28&gt;=1000,"B",IF(P28&gt;=100,"C",IF(P28&gt;0,"D","N")))))</x:f>
        <x:v>C</x:v>
      </x:c>
      <x:c r="R28" s="28" t="str">
        <x:v>C级品类需求；适合品牌防守和细分决策词占位</x:v>
      </x:c>
      <x:c r="S28" s="28" t="str">
        <x:v>比较褪黑素、镁、草本与睡眠卫生，明确营养支持边界。</x:v>
      </x:c>
    </x:row>
    <x:row r="29" ht="38" customHeight="1">
      <x:c r="A29" s="30" t="n">
        <x:v>24</x:v>
      </x:c>
      <x:c r="B29" s="30" t="n">
        <x:f>RANK(P29,$P$6:$P$35,0)</x:f>
        <x:v>29</x:v>
      </x:c>
      <x:c r="C29" s="38" t="str">
        <x:v>焕能小金瓶</x:v>
      </x:c>
      <x:c r="D29" s="37" t="str">
        <x:v>非褪黑素路线</x:v>
      </x:c>
      <x:c r="E29" s="37" t="str">
        <x:v>非褪黑素助眠产品</x:v>
      </x:c>
      <x:c r="F29" s="28" t="str">
        <x:v>实测概念词</x:v>
      </x:c>
      <x:c r="G29" s="30" t="str">
        <x:v>P1</x:v>
      </x:c>
      <x:c r="H29" s="30" t="str">
        <x:v>概念占位</x:v>
      </x:c>
      <x:c r="I29" s="32"/>
      <x:c r="J29" s="32" t="n">
        <x:v>0</x:v>
      </x:c>
      <x:c r="K29" s="30" t="n">
        <x:v>3</x:v>
      </x:c>
      <x:c r="L29" s="30" t="str">
        <x:v>非褪黑素助眠产品</x:v>
      </x:c>
      <x:c r="M29" s="32"/>
      <x:c r="N29" s="32" t="n">
        <x:v>0</x:v>
      </x:c>
      <x:c r="O29" s="30" t="str">
        <x:v>母词参考</x:v>
      </x:c>
      <x:c r="P29" s="32" t="n">
        <x:f>IF(MAX(I29:J29)&gt;0,MAX(I29:J29),MAX(M29:N29))</x:f>
        <x:v>0</x:v>
      </x:c>
      <x:c r="Q29" s="30" t="str">
        <x:f>IF(P29&gt;=100000,"S",IF(P29&gt;=10000,"A",IF(P29&gt;=1000,"B",IF(P29&gt;=100,"C",IF(P29&gt;0,"D","N")))))</x:f>
        <x:v>N</x:v>
      </x:c>
      <x:c r="R29" s="28" t="str">
        <x:v>N级品类需求；按战略价值建设，并继续监测品牌搜索</x:v>
      </x:c>
      <x:c r="S29" s="28" t="str">
        <x:v>当前绝对量小，但与产品差异高度一致，适合提前建立定义与比较标准。</x:v>
      </x:c>
    </x:row>
    <x:row r="30" ht="38" customHeight="1">
      <x:c r="A30" s="30" t="n">
        <x:v>25</x:v>
      </x:c>
      <x:c r="B30" s="30" t="n">
        <x:f>RANK(P30,$P$6:$P$35,0)</x:f>
        <x:v>9</x:v>
      </x:c>
      <x:c r="C30" s="36" t="str">
        <x:v>光子滤镜2.0</x:v>
      </x:c>
      <x:c r="D30" s="35" t="str">
        <x:v>品类发现</x:v>
      </x:c>
      <x:c r="E30" s="35" t="str">
        <x:v>口服美白</x:v>
      </x:c>
      <x:c r="F30" s="28" t="str">
        <x:v>实测品类词</x:v>
      </x:c>
      <x:c r="G30" s="30" t="str">
        <x:v>P1</x:v>
      </x:c>
      <x:c r="H30" s="30" t="str">
        <x:v>重点承接</x:v>
      </x:c>
      <x:c r="I30" s="32" t="n">
        <x:v>3702</x:v>
      </x:c>
      <x:c r="J30" s="32" t="n">
        <x:v>2548</x:v>
      </x:c>
      <x:c r="K30" s="30" t="n">
        <x:v>5</x:v>
      </x:c>
      <x:c r="L30" s="30" t="str">
        <x:v>口服美白</x:v>
      </x:c>
      <x:c r="M30" s="32" t="n">
        <x:v>3702</x:v>
      </x:c>
      <x:c r="N30" s="32" t="n">
        <x:v>2548</x:v>
      </x:c>
      <x:c r="O30" s="30" t="str">
        <x:v>本词实测</x:v>
      </x:c>
      <x:c r="P30" s="32" t="n">
        <x:f>IF(MAX(I30:J30)&gt;0,MAX(I30:J30),MAX(M30:N30))</x:f>
        <x:v>3702</x:v>
      </x:c>
      <x:c r="Q30" s="30" t="str">
        <x:f>IF(P30&gt;=100000,"S",IF(P30&gt;=10000,"A",IF(P30&gt;=1000,"B",IF(P30&gt;=100,"C",IF(P30&gt;0,"D","N")))))</x:f>
        <x:v>B</x:v>
      </x:c>
      <x:c r="R30" s="28" t="str">
        <x:v>B级品类需求；适合稳定建设产品页、问答页与对比页</x:v>
      </x:c>
      <x:c r="S30" s="28" t="str">
        <x:v>成熟品类入口，内容必须同时说明配方、成品证据与防晒边界。</x:v>
      </x:c>
    </x:row>
    <x:row r="31" ht="38" customHeight="1">
      <x:c r="A31" s="30" t="n">
        <x:v>26</x:v>
      </x:c>
      <x:c r="B31" s="30" t="n">
        <x:f>RANK(P31,$P$6:$P$35,0)</x:f>
        <x:v>7</x:v>
      </x:c>
      <x:c r="C31" s="36" t="str">
        <x:v>光子滤镜2.0</x:v>
      </x:c>
      <x:c r="D31" s="35" t="str">
        <x:v>安全边界</x:v>
      </x:c>
      <x:c r="E31" s="35" t="str">
        <x:v>美白丸的危害</x:v>
      </x:c>
      <x:c r="F31" s="28" t="str">
        <x:v>实测品类词</x:v>
      </x:c>
      <x:c r="G31" s="30" t="str">
        <x:v>P1</x:v>
      </x:c>
      <x:c r="H31" s="30" t="str">
        <x:v>教育承接</x:v>
      </x:c>
      <x:c r="I31" s="32" t="n">
        <x:v>791</x:v>
      </x:c>
      <x:c r="J31" s="32" t="n">
        <x:v>6315</x:v>
      </x:c>
      <x:c r="K31" s="30" t="n">
        <x:v>4</x:v>
      </x:c>
      <x:c r="L31" s="30" t="str">
        <x:v>美白丸的危害</x:v>
      </x:c>
      <x:c r="M31" s="32" t="n">
        <x:v>791</x:v>
      </x:c>
      <x:c r="N31" s="32" t="n">
        <x:v>6315</x:v>
      </x:c>
      <x:c r="O31" s="30" t="str">
        <x:v>本词实测</x:v>
      </x:c>
      <x:c r="P31" s="32" t="n">
        <x:f>IF(MAX(I31:J31)&gt;0,MAX(I31:J31),MAX(M31:N31))</x:f>
        <x:v>6315</x:v>
      </x:c>
      <x:c r="Q31" s="30" t="str">
        <x:f>IF(P31&gt;=100000,"S",IF(P31&gt;=10000,"A",IF(P31&gt;=1000,"B",IF(P31&gt;=100,"C",IF(P31&gt;0,"D","N")))))</x:f>
        <x:v>B</x:v>
      </x:c>
      <x:c r="R31" s="28" t="str">
        <x:v>B级需求；以教育、风险说明和分流为主</x:v>
      </x:c>
      <x:c r="S31" s="28" t="str">
        <x:v>小红书安全焦虑明显，应解释标签、特殊人群和不适处理，不做绝对安全承诺。</x:v>
      </x:c>
    </x:row>
    <x:row r="32" ht="38" customHeight="1">
      <x:c r="A32" s="30" t="n">
        <x:v>27</x:v>
      </x:c>
      <x:c r="B32" s="30" t="n">
        <x:f>RANK(P32,$P$6:$P$35,0)</x:f>
        <x:v>10</x:v>
      </x:c>
      <x:c r="C32" s="40" t="str">
        <x:v>眼回春</x:v>
      </x:c>
      <x:c r="D32" s="39" t="str">
        <x:v>配方比较</x:v>
      </x:c>
      <x:c r="E32" s="39" t="str">
        <x:v>眼回春和普通叶黄素怎么选</x:v>
      </x:c>
      <x:c r="F32" s="28" t="str">
        <x:v>产品组合建议词</x:v>
      </x:c>
      <x:c r="G32" s="30" t="str">
        <x:v>P1</x:v>
      </x:c>
      <x:c r="H32" s="30" t="str">
        <x:v>比较承接</x:v>
      </x:c>
      <x:c r="I32" s="32"/>
      <x:c r="J32" s="32"/>
      <x:c r="K32" s="30" t="n">
        <x:v>0</x:v>
      </x:c>
      <x:c r="L32" s="30" t="str">
        <x:v>越橘叶黄素</x:v>
      </x:c>
      <x:c r="M32" s="32" t="n">
        <x:v>3217</x:v>
      </x:c>
      <x:c r="N32" s="32" t="n">
        <x:v>656</x:v>
      </x:c>
      <x:c r="O32" s="30" t="str">
        <x:v>母词参考</x:v>
      </x:c>
      <x:c r="P32" s="32" t="n">
        <x:f>IF(MAX(I32:J32)&gt;0,MAX(I32:J32),MAX(M32:N32))</x:f>
        <x:v>3217</x:v>
      </x:c>
      <x:c r="Q32" s="30" t="str">
        <x:f>IF(P32&gt;=100000,"S",IF(P32&gt;=10000,"A",IF(P32&gt;=1000,"B",IF(P32&gt;=100,"C",IF(P32&gt;0,"D","N")))))</x:f>
        <x:v>B</x:v>
      </x:c>
      <x:c r="R32" s="28" t="str">
        <x:v>B级母词参考；先建品牌/产品事实页，持续监测独立量</x:v>
      </x:c>
      <x:c r="S32" s="28" t="str">
        <x:v>解释越橘、叶黄素与复配路径，不外推为改善视力或治疗眼病。</x:v>
      </x:c>
    </x:row>
    <x:row r="33" ht="38" customHeight="1">
      <x:c r="A33" s="30" t="n">
        <x:v>28</x:v>
      </x:c>
      <x:c r="B33" s="30" t="n">
        <x:f>RANK(P33,$P$6:$P$35,0)</x:f>
        <x:v>4</x:v>
      </x:c>
      <x:c r="C33" s="40" t="str">
        <x:v>眼回春</x:v>
      </x:c>
      <x:c r="D33" s="39" t="str">
        <x:v>适配人群</x:v>
      </x:c>
      <x:c r="E33" s="39" t="str">
        <x:v>眼回春适合什么人</x:v>
      </x:c>
      <x:c r="F33" s="28" t="str">
        <x:v>产品组合建议词</x:v>
      </x:c>
      <x:c r="G33" s="30" t="str">
        <x:v>P1</x:v>
      </x:c>
      <x:c r="H33" s="30" t="str">
        <x:v>人群承接</x:v>
      </x:c>
      <x:c r="I33" s="32"/>
      <x:c r="J33" s="32"/>
      <x:c r="K33" s="30" t="n">
        <x:v>0</x:v>
      </x:c>
      <x:c r="L33" s="30" t="str">
        <x:v>护眼保健品</x:v>
      </x:c>
      <x:c r="M33" s="32" t="n">
        <x:v>4067</x:v>
      </x:c>
      <x:c r="N33" s="32" t="n">
        <x:v>11205</x:v>
      </x:c>
      <x:c r="O33" s="30" t="str">
        <x:v>母词参考</x:v>
      </x:c>
      <x:c r="P33" s="32" t="n">
        <x:f>IF(MAX(I33:J33)&gt;0,MAX(I33:J33),MAX(M33:N33))</x:f>
        <x:v>11205</x:v>
      </x:c>
      <x:c r="Q33" s="30" t="str">
        <x:f>IF(P33&gt;=100000,"S",IF(P33&gt;=10000,"A",IF(P33&gt;=1000,"B",IF(P33&gt;=100,"C",IF(P33&gt;0,"D","N")))))</x:f>
        <x:v>A</x:v>
      </x:c>
      <x:c r="R33" s="28" t="str">
        <x:v>A级母词参考；先建品牌/产品事实页，持续监测独立量</x:v>
      </x:c>
      <x:c r="S33" s="28" t="str">
        <x:v>按长期用屏、年龄、饮食和特殊人群限制解释适配边界。</x:v>
      </x:c>
    </x:row>
    <x:row r="34" ht="38" customHeight="1">
      <x:c r="A34" s="30" t="n">
        <x:v>29</x:v>
      </x:c>
      <x:c r="B34" s="30" t="n">
        <x:f>RANK(P34,$P$6:$P$35,0)</x:f>
        <x:v>2</x:v>
      </x:c>
      <x:c r="C34" s="40" t="str">
        <x:v>眼回春</x:v>
      </x:c>
      <x:c r="D34" s="39" t="str">
        <x:v>用屏场景</x:v>
      </x:c>
      <x:c r="E34" s="39" t="str">
        <x:v>眼睛疲劳</x:v>
      </x:c>
      <x:c r="F34" s="28" t="str">
        <x:v>实测场景词</x:v>
      </x:c>
      <x:c r="G34" s="30" t="str">
        <x:v>P1</x:v>
      </x:c>
      <x:c r="H34" s="30" t="str">
        <x:v>教育分流</x:v>
      </x:c>
      <x:c r="I34" s="32" t="n">
        <x:v>137430</x:v>
      </x:c>
      <x:c r="J34" s="32" t="n">
        <x:v>5580</x:v>
      </x:c>
      <x:c r="K34" s="30" t="n">
        <x:v>5</x:v>
      </x:c>
      <x:c r="L34" s="30" t="str">
        <x:v>眼睛疲劳</x:v>
      </x:c>
      <x:c r="M34" s="32" t="n">
        <x:v>137430</x:v>
      </x:c>
      <x:c r="N34" s="32" t="n">
        <x:v>5580</x:v>
      </x:c>
      <x:c r="O34" s="30" t="str">
        <x:v>本词实测</x:v>
      </x:c>
      <x:c r="P34" s="32" t="n">
        <x:f>IF(MAX(I34:J34)&gt;0,MAX(I34:J34),MAX(M34:N34))</x:f>
        <x:v>137430</x:v>
      </x:c>
      <x:c r="Q34" s="30" t="str">
        <x:f>IF(P34&gt;=100000,"S",IF(P34&gt;=10000,"A",IF(P34&gt;=1000,"B",IF(P34&gt;=100,"C",IF(P34&gt;0,"D","N")))))</x:f>
        <x:v>S</x:v>
      </x:c>
      <x:c r="R34" s="28" t="str">
        <x:v>S级需求；以教育、风险说明和分流为主</x:v>
      </x:c>
      <x:c r="S34" s="28" t="str">
        <x:v>搜索规模大但成因复杂，先给用屏、休息和就医边界，再介绍营养路径。</x:v>
      </x:c>
    </x:row>
    <x:row r="35" ht="38" customHeight="1">
      <x:c r="A35" s="30" t="n">
        <x:v>30</x:v>
      </x:c>
      <x:c r="B35" s="30" t="n">
        <x:f>RANK(P35,$P$6:$P$35,0)</x:f>
        <x:v>1</x:v>
      </x:c>
      <x:c r="C35" s="38" t="str">
        <x:v>焕能小金瓶</x:v>
      </x:c>
      <x:c r="D35" s="37" t="str">
        <x:v>睡眠场景</x:v>
      </x:c>
      <x:c r="E35" s="37" t="str">
        <x:v>晚上睡不着</x:v>
      </x:c>
      <x:c r="F35" s="28" t="str">
        <x:v>实测场景词</x:v>
      </x:c>
      <x:c r="G35" s="30" t="str">
        <x:v>P1</x:v>
      </x:c>
      <x:c r="H35" s="30" t="str">
        <x:v>教育分流</x:v>
      </x:c>
      <x:c r="I35" s="32" t="n">
        <x:v>781452</x:v>
      </x:c>
      <x:c r="J35" s="32" t="n">
        <x:v>40266</x:v>
      </x:c>
      <x:c r="K35" s="30" t="n">
        <x:v>5</x:v>
      </x:c>
      <x:c r="L35" s="30" t="str">
        <x:v>晚上睡不着</x:v>
      </x:c>
      <x:c r="M35" s="32" t="n">
        <x:v>781452</x:v>
      </x:c>
      <x:c r="N35" s="32" t="n">
        <x:v>40266</x:v>
      </x:c>
      <x:c r="O35" s="30" t="str">
        <x:v>本词实测</x:v>
      </x:c>
      <x:c r="P35" s="32" t="n">
        <x:f>IF(MAX(I35:J35)&gt;0,MAX(I35:J35),MAX(M35:N35))</x:f>
        <x:v>781452</x:v>
      </x:c>
      <x:c r="Q35" s="30" t="str">
        <x:f>IF(P35&gt;=100000,"S",IF(P35&gt;=10000,"A",IF(P35&gt;=1000,"B",IF(P35&gt;=100,"C",IF(P35&gt;0,"D","N")))))</x:f>
        <x:v>S</x:v>
      </x:c>
      <x:c r="R35" s="28" t="str">
        <x:v>S级需求；以教育、风险说明和分流为主</x:v>
      </x:c>
      <x:c r="S35" s="28" t="str">
        <x:v>流量极大但问题宽泛，先解释原因、红旗信号和就医边界，不直接推产品。</x:v>
      </x:c>
    </x:row>
    <x:row r="37" ht="34" customHeight="1">
      <x:c r="A37" s="48" t="str">
        <x:v>热度说明：S≥100,000；A≥10,000；B≥1,000；C≥100；D&gt;0；N=未检出。抖音使用月覆盖，小红书使用月均搜索；两平台不直接相加。品牌组合建议词若无独立量，仅展示母词参考热度。</x:v>
      </x:c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</x:row>
  </x:sheetData>
  <x:mergeCells>
    <x:mergeCell ref="A1:S1"/>
    <x:mergeCell ref="A2:S2"/>
    <x:mergeCell ref="A3:C3"/>
    <x:mergeCell ref="D3:F3"/>
    <x:mergeCell ref="G3:I3"/>
    <x:mergeCell ref="J3:L3"/>
    <x:mergeCell ref="M3:S3"/>
    <x:mergeCell ref="A4:S4"/>
    <x:mergeCell ref="A37:S37"/>
  </x:mergeCells>
  <x:conditionalFormatting sqref="G6:G35">
    <x:cfRule type="containsText" dxfId="0" priority="1" operator="containsText" text="P0"/>
    <x:cfRule type="containsText" dxfId="1" priority="2" operator="containsText" text="P1"/>
  </x:conditionalFormatting>
  <x:conditionalFormatting sqref="Q6:Q35">
    <x:cfRule type="containsText" dxfId="2" priority="3" operator="containsText" text="S"/>
    <x:cfRule type="containsText" dxfId="3" priority="4" operator="containsText" text="A"/>
    <x:cfRule type="containsText" dxfId="4" priority="5" operator="containsText" text="B"/>
    <x:cfRule type="containsText" dxfId="5" priority="6" operator="containsText" text="C"/>
  </x:conditionalFormatting>
  <x:conditionalFormatting sqref="P6:P35">
    <x:cfRule type="dataBar" priority="7">
      <x:dataBar>
        <x:cfvo type="min"/>
        <x:cfvo type="max"/>
        <x:color rgb="FFC8935D"/>
      </x:dataBar>
      <x:extLst>
        <x:ext xmlns:x14="http://schemas.microsoft.com/office/spreadsheetml/2009/9/main" uri="{B025F937-C7B1-47D3-B67F-A62EFF666E3E}">
          <x14:id>{57A221D7-6281-DC93-5044-9DCC0B53E12A}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ac82172f95c452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57A221D7-6281-DC93-5044-9DCC0B53E12A}">
            <x14:dataBar gradient="1">
              <x14:cfvo type="min"/>
              <x14:cfvo type="max"/>
              <x14:fillColor rgb="FFC8935D"/>
            </x14:dataBar>
          </x14:cfRule>
          <xm:sqref>P6:P35</xm:sqref>
        </x14:conditionalFormatting>
      </x14:conditionalFormattings>
    </x:ext>
  </x:extLst>
</x:worksheet>
</file>